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\IQF-4th-semester\CPP\CPP2\lab08\Project1\"/>
    </mc:Choice>
  </mc:AlternateContent>
  <xr:revisionPtr revIDLastSave="0" documentId="13_ncr:1_{0712002E-7F45-40E7-AF46-ADB5632CEC3A}" xr6:coauthVersionLast="47" xr6:coauthVersionMax="47" xr10:uidLastSave="{00000000-0000-0000-0000-000000000000}"/>
  <bookViews>
    <workbookView xWindow="-108" yWindow="-108" windowWidth="23256" windowHeight="12576" xr2:uid="{A69774F6-8B9E-4F91-BDE9-85659ED52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1" l="1"/>
  <c r="H11" i="1"/>
  <c r="L9" i="1"/>
  <c r="F8" i="1"/>
  <c r="J6" i="1"/>
  <c r="N4" i="1"/>
  <c r="H3" i="1"/>
  <c r="E5" i="1"/>
  <c r="M12" i="1"/>
  <c r="G11" i="1"/>
  <c r="K9" i="1"/>
  <c r="E8" i="1"/>
  <c r="I6" i="1"/>
  <c r="M4" i="1"/>
  <c r="G3" i="1"/>
  <c r="I3" i="1"/>
  <c r="L12" i="1"/>
  <c r="F11" i="1"/>
  <c r="J9" i="1"/>
  <c r="N7" i="1"/>
  <c r="H6" i="1"/>
  <c r="L4" i="1"/>
  <c r="F3" i="1"/>
  <c r="K6" i="1"/>
  <c r="K12" i="1"/>
  <c r="E11" i="1"/>
  <c r="I9" i="1"/>
  <c r="M7" i="1"/>
  <c r="G6" i="1"/>
  <c r="K4" i="1"/>
  <c r="E3" i="1"/>
  <c r="M3" i="1"/>
  <c r="J12" i="1"/>
  <c r="N10" i="1"/>
  <c r="H9" i="1"/>
  <c r="L7" i="1"/>
  <c r="F6" i="1"/>
  <c r="J4" i="1"/>
  <c r="I12" i="1"/>
  <c r="M10" i="1"/>
  <c r="G9" i="1"/>
  <c r="K7" i="1"/>
  <c r="E6" i="1"/>
  <c r="I4" i="1"/>
  <c r="M9" i="1"/>
  <c r="H12" i="1"/>
  <c r="L10" i="1"/>
  <c r="F9" i="1"/>
  <c r="J7" i="1"/>
  <c r="N5" i="1"/>
  <c r="H4" i="1"/>
  <c r="I5" i="1"/>
  <c r="I11" i="1"/>
  <c r="G12" i="1"/>
  <c r="K10" i="1"/>
  <c r="E9" i="1"/>
  <c r="I7" i="1"/>
  <c r="M5" i="1"/>
  <c r="G4" i="1"/>
  <c r="J3" i="1"/>
  <c r="G8" i="1"/>
  <c r="F12" i="1"/>
  <c r="J10" i="1"/>
  <c r="N8" i="1"/>
  <c r="H7" i="1"/>
  <c r="L5" i="1"/>
  <c r="F4" i="1"/>
  <c r="E12" i="1"/>
  <c r="I10" i="1"/>
  <c r="M8" i="1"/>
  <c r="G7" i="1"/>
  <c r="K5" i="1"/>
  <c r="E4" i="1"/>
  <c r="N11" i="1"/>
  <c r="H10" i="1"/>
  <c r="L8" i="1"/>
  <c r="F7" i="1"/>
  <c r="J5" i="1"/>
  <c r="N3" i="1"/>
  <c r="E7" i="1"/>
  <c r="M11" i="1"/>
  <c r="G10" i="1"/>
  <c r="K8" i="1"/>
  <c r="L11" i="1"/>
  <c r="F10" i="1"/>
  <c r="J8" i="1"/>
  <c r="N6" i="1"/>
  <c r="H5" i="1"/>
  <c r="L3" i="1"/>
  <c r="K11" i="1"/>
  <c r="E10" i="1"/>
  <c r="I8" i="1"/>
  <c r="M6" i="1"/>
  <c r="G5" i="1"/>
  <c r="K3" i="1"/>
  <c r="J11" i="1"/>
  <c r="N9" i="1"/>
  <c r="H8" i="1"/>
  <c r="L6" i="1"/>
  <c r="F5" i="1"/>
  <c r="B6" i="1"/>
</calcChain>
</file>

<file path=xl/sharedStrings.xml><?xml version="1.0" encoding="utf-8"?>
<sst xmlns="http://schemas.openxmlformats.org/spreadsheetml/2006/main" count="6" uniqueCount="6">
  <si>
    <t>time to maturity</t>
  </si>
  <si>
    <t>coupon yield</t>
  </si>
  <si>
    <t>number of coupons per year</t>
  </si>
  <si>
    <t>yield to maturity</t>
  </si>
  <si>
    <t>face value</t>
  </si>
  <si>
    <t>bond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</si>
</sst>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/>
    <xf numFmtId="0" fontId="0" fillId="2" borderId="1" xfId="0" applyFill="1" applyBorder="1" applyAlignment="1"/>
    <xf numFmtId="0" fontId="0" fillId="3" borderId="0" xfId="0" applyFill="1" applyAlignment="1"/>
    <xf numFmtId="0" fontId="0" fillId="4" borderId="0" xfId="0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0.03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Sheet1!$E$5:$N$5</c:f>
              <c:numCache>
                <c:formatCode>General</c:formatCode>
                <c:ptCount val="10"/>
                <c:pt idx="0">
                  <c:v>1190.2498011052035</c:v>
                </c:pt>
                <c:pt idx="1">
                  <c:v>1090.5664659386839</c:v>
                </c:pt>
                <c:pt idx="2">
                  <c:v>1000.0000000000055</c:v>
                </c:pt>
                <c:pt idx="3">
                  <c:v>917.69152095221671</c:v>
                </c:pt>
                <c:pt idx="4">
                  <c:v>842.8644161196097</c:v>
                </c:pt>
                <c:pt idx="5">
                  <c:v>774.81636668208671</c:v>
                </c:pt>
                <c:pt idx="6">
                  <c:v>712.91215286207284</c:v>
                </c:pt>
                <c:pt idx="7">
                  <c:v>656.57716294424802</c:v>
                </c:pt>
                <c:pt idx="8">
                  <c:v>605.29153665499541</c:v>
                </c:pt>
                <c:pt idx="9">
                  <c:v>558.58488034368418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A-41EF-8877-10F1C187A978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0.04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Sheet1!$E$6:$N$6</c:f>
              <c:numCache>
                <c:formatCode>General</c:formatCode>
                <c:ptCount val="10"/>
                <c:pt idx="0">
                  <c:v>1285.3747016578004</c:v>
                </c:pt>
                <c:pt idx="1">
                  <c:v>1181.1329318773717</c:v>
                </c:pt>
                <c:pt idx="2">
                  <c:v>1086.301460902806</c:v>
                </c:pt>
                <c:pt idx="3">
                  <c:v>999.99999999999238</c:v>
                </c:pt>
                <c:pt idx="4">
                  <c:v>921.43220805980582</c:v>
                </c:pt>
                <c:pt idx="5">
                  <c:v>849.87757778806088</c:v>
                </c:pt>
                <c:pt idx="6">
                  <c:v>784.68411464655424</c:v>
                </c:pt>
                <c:pt idx="7">
                  <c:v>725.26173035539944</c:v>
                </c:pt>
                <c:pt idx="8">
                  <c:v>671.07628054582847</c:v>
                </c:pt>
                <c:pt idx="9">
                  <c:v>621.64418315172952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7A-41EF-8877-10F1C187A978}"/>
            </c:ext>
          </c:extLst>
        </c:ser>
        <c:ser>
          <c:idx val="2"/>
          <c:order val="2"/>
          <c:tx>
            <c:strRef>
              <c:f>Sheet1!$D$7</c:f>
              <c:strCache>
                <c:ptCount val="1"/>
                <c:pt idx="0">
                  <c:v>0.05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Sheet1!$E$7:$N$7</c:f>
              <c:numCache>
                <c:formatCode>General</c:formatCode>
                <c:ptCount val="10"/>
                <c:pt idx="0">
                  <c:v>1380.4996022103967</c:v>
                </c:pt>
                <c:pt idx="1">
                  <c:v>1271.6993978160599</c:v>
                </c:pt>
                <c:pt idx="2">
                  <c:v>1172.6029218056065</c:v>
                </c:pt>
                <c:pt idx="3">
                  <c:v>1082.3084790477681</c:v>
                </c:pt>
                <c:pt idx="4">
                  <c:v>1000.0000000000011</c:v>
                </c:pt>
                <c:pt idx="5">
                  <c:v>924.93878889403538</c:v>
                </c:pt>
                <c:pt idx="6">
                  <c:v>856.4560764310354</c:v>
                </c:pt>
                <c:pt idx="7">
                  <c:v>793.94629776655097</c:v>
                </c:pt>
                <c:pt idx="8">
                  <c:v>736.86102443666209</c:v>
                </c:pt>
                <c:pt idx="9">
                  <c:v>684.70348595977509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7A-41EF-8877-10F1C187A978}"/>
            </c:ext>
          </c:extLst>
        </c:ser>
        <c:ser>
          <c:idx val="3"/>
          <c:order val="3"/>
          <c:tx>
            <c:strRef>
              <c:f>Sheet1!$D$8</c:f>
              <c:strCache>
                <c:ptCount val="1"/>
                <c:pt idx="0">
                  <c:v>0.06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Sheet1!$E$8:$N$8</c:f>
              <c:numCache>
                <c:formatCode>General</c:formatCode>
                <c:ptCount val="10"/>
                <c:pt idx="0">
                  <c:v>1475.624502762993</c:v>
                </c:pt>
                <c:pt idx="1">
                  <c:v>1362.2658637547479</c:v>
                </c:pt>
                <c:pt idx="2">
                  <c:v>1258.904382708407</c:v>
                </c:pt>
                <c:pt idx="3">
                  <c:v>1164.6169580955436</c:v>
                </c:pt>
                <c:pt idx="4">
                  <c:v>1078.5677919401974</c:v>
                </c:pt>
                <c:pt idx="5">
                  <c:v>1000.0000000000098</c:v>
                </c:pt>
                <c:pt idx="6">
                  <c:v>928.22803821551656</c:v>
                </c:pt>
                <c:pt idx="7">
                  <c:v>862.63086517770273</c:v>
                </c:pt>
                <c:pt idx="8">
                  <c:v>802.64576832749526</c:v>
                </c:pt>
                <c:pt idx="9">
                  <c:v>747.76278876782044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7A-41EF-8877-10F1C187A978}"/>
            </c:ext>
          </c:extLst>
        </c:ser>
        <c:ser>
          <c:idx val="4"/>
          <c:order val="4"/>
          <c:tx>
            <c:strRef>
              <c:f>Sheet1!$D$9</c:f>
              <c:strCache>
                <c:ptCount val="1"/>
                <c:pt idx="0">
                  <c:v>0.07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Sheet1!$E$9:$N$9</c:f>
              <c:numCache>
                <c:formatCode>General</c:formatCode>
                <c:ptCount val="10"/>
                <c:pt idx="0">
                  <c:v>1570.7494033155897</c:v>
                </c:pt>
                <c:pt idx="1">
                  <c:v>1452.8323296934359</c:v>
                </c:pt>
                <c:pt idx="2">
                  <c:v>1345.2058436112075</c:v>
                </c:pt>
                <c:pt idx="3">
                  <c:v>1246.925437143319</c:v>
                </c:pt>
                <c:pt idx="4">
                  <c:v>1157.1355838803931</c:v>
                </c:pt>
                <c:pt idx="5">
                  <c:v>1075.0612111059841</c:v>
                </c:pt>
                <c:pt idx="6">
                  <c:v>999.99999999999818</c:v>
                </c:pt>
                <c:pt idx="7">
                  <c:v>931.31543258885404</c:v>
                </c:pt>
                <c:pt idx="8">
                  <c:v>868.43051221832843</c:v>
                </c:pt>
                <c:pt idx="9">
                  <c:v>810.82209157586601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7A-41EF-8877-10F1C187A978}"/>
            </c:ext>
          </c:extLst>
        </c:ser>
        <c:ser>
          <c:idx val="5"/>
          <c:order val="5"/>
          <c:tx>
            <c:strRef>
              <c:f>Sheet1!$D$10</c:f>
              <c:strCache>
                <c:ptCount val="1"/>
                <c:pt idx="0">
                  <c:v>0.08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Sheet1!$E$10:$N$10</c:f>
              <c:numCache>
                <c:formatCode>General</c:formatCode>
                <c:ptCount val="10"/>
                <c:pt idx="0">
                  <c:v>1665.8743038681866</c:v>
                </c:pt>
                <c:pt idx="1">
                  <c:v>1543.3987956321237</c:v>
                </c:pt>
                <c:pt idx="2">
                  <c:v>1431.5073045140077</c:v>
                </c:pt>
                <c:pt idx="3">
                  <c:v>1329.233916191095</c:v>
                </c:pt>
                <c:pt idx="4">
                  <c:v>1235.7033758205896</c:v>
                </c:pt>
                <c:pt idx="5">
                  <c:v>1150.1224222119581</c:v>
                </c:pt>
                <c:pt idx="6">
                  <c:v>1071.7719617844796</c:v>
                </c:pt>
                <c:pt idx="7">
                  <c:v>1000.0000000000056</c:v>
                </c:pt>
                <c:pt idx="8">
                  <c:v>934.21525610916149</c:v>
                </c:pt>
                <c:pt idx="9">
                  <c:v>873.88139438391113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7A-41EF-8877-10F1C187A978}"/>
            </c:ext>
          </c:extLst>
        </c:ser>
        <c:ser>
          <c:idx val="6"/>
          <c:order val="6"/>
          <c:tx>
            <c:strRef>
              <c:f>Sheet1!$D$11</c:f>
              <c:strCache>
                <c:ptCount val="1"/>
                <c:pt idx="0">
                  <c:v>0.09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Sheet1!$E$11:$N$11</c:f>
              <c:numCache>
                <c:formatCode>General</c:formatCode>
                <c:ptCount val="10"/>
                <c:pt idx="0">
                  <c:v>1760.9992044207827</c:v>
                </c:pt>
                <c:pt idx="1">
                  <c:v>1633.9652615708117</c:v>
                </c:pt>
                <c:pt idx="2">
                  <c:v>1517.8087654168082</c:v>
                </c:pt>
                <c:pt idx="3">
                  <c:v>1411.5423952388705</c:v>
                </c:pt>
                <c:pt idx="4">
                  <c:v>1314.2711677607849</c:v>
                </c:pt>
                <c:pt idx="5">
                  <c:v>1225.1836333179326</c:v>
                </c:pt>
                <c:pt idx="6">
                  <c:v>1143.5439235689603</c:v>
                </c:pt>
                <c:pt idx="7">
                  <c:v>1068.6845674111573</c:v>
                </c:pt>
                <c:pt idx="8">
                  <c:v>999.99999999999488</c:v>
                </c:pt>
                <c:pt idx="9">
                  <c:v>936.9406971919567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7A-41EF-8877-10F1C187A978}"/>
            </c:ext>
          </c:extLst>
        </c:ser>
        <c:ser>
          <c:idx val="7"/>
          <c:order val="7"/>
          <c:tx>
            <c:strRef>
              <c:f>Sheet1!$D$12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Sheet1!$E$12:$N$12</c:f>
              <c:numCache>
                <c:formatCode>General</c:formatCode>
                <c:ptCount val="10"/>
                <c:pt idx="0">
                  <c:v>1856.1241049733794</c:v>
                </c:pt>
                <c:pt idx="1">
                  <c:v>1724.5317275094999</c:v>
                </c:pt>
                <c:pt idx="2">
                  <c:v>1604.110226319609</c:v>
                </c:pt>
                <c:pt idx="3">
                  <c:v>1493.8508742866461</c:v>
                </c:pt>
                <c:pt idx="4">
                  <c:v>1392.8389597009805</c:v>
                </c:pt>
                <c:pt idx="5">
                  <c:v>1300.2448444239071</c:v>
                </c:pt>
                <c:pt idx="6">
                  <c:v>1215.3158853534417</c:v>
                </c:pt>
                <c:pt idx="7">
                  <c:v>1137.3691348223088</c:v>
                </c:pt>
                <c:pt idx="8">
                  <c:v>1065.7847438908286</c:v>
                </c:pt>
                <c:pt idx="9">
                  <c:v>1000.0000000000023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7A-41EF-8877-10F1C187A978}"/>
            </c:ext>
          </c:extLst>
        </c:ser>
        <c:ser>
          <c:idx val="8"/>
          <c:order val="8"/>
          <c:tx>
            <c:strRef>
              <c:f>Sheet1!$D$13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Sheet1!$E$13:$N$13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7A-41EF-8877-10F1C187A978}"/>
            </c:ext>
          </c:extLst>
        </c:ser>
        <c:ser>
          <c:idx val="9"/>
          <c:order val="9"/>
          <c:tx>
            <c:strRef>
              <c:f>Sheet1!$D$14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  <a:sp3d/>
          </c:spPr>
          <c:cat>
            <c:numRef>
              <c:f>Sheet1!$E$2:$N$2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Sheet1!$E$14:$N$14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7A-41EF-8877-10F1C187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128943"/>
        <c:axId val="1535131823"/>
        <c:axId val="726039311"/>
      </c:line3DChart>
      <c:catAx>
        <c:axId val="1535128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5131823"/>
        <c:crosses val="autoZero"/>
        <c:auto val="1"/>
        <c:lblAlgn val="ctr"/>
        <c:lblOffset val="100"/>
        <c:noMultiLvlLbl val="0"/>
      </c:catAx>
      <c:valAx>
        <c:axId val="15351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5128943"/>
        <c:crosses val="autoZero"/>
        <c:crossBetween val="between"/>
      </c:valAx>
      <c:serAx>
        <c:axId val="7260393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513182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15</xdr:row>
      <xdr:rowOff>76200</xdr:rowOff>
    </xdr:from>
    <xdr:to>
      <xdr:col>13</xdr:col>
      <xdr:colOff>198120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33E32-74F8-723D-FA58-BA541CFA2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5A72-45C3-431F-8101-1AFC913946B0}">
  <dimension ref="A1:N12"/>
  <sheetViews>
    <sheetView tabSelected="1" topLeftCell="A7" workbookViewId="0">
      <selection activeCell="Q21" sqref="Q21"/>
    </sheetView>
  </sheetViews>
  <sheetFormatPr defaultRowHeight="13.8" x14ac:dyDescent="0.25"/>
  <cols>
    <col min="1" max="1" width="27.21875" bestFit="1" customWidth="1"/>
  </cols>
  <sheetData>
    <row r="1" spans="1:14" x14ac:dyDescent="0.25">
      <c r="A1" s="1" t="s">
        <v>0</v>
      </c>
      <c r="B1" s="2">
        <v>10</v>
      </c>
    </row>
    <row r="2" spans="1:14" x14ac:dyDescent="0.25">
      <c r="A2" s="1" t="s">
        <v>1</v>
      </c>
      <c r="B2" s="2">
        <v>0.05</v>
      </c>
      <c r="D2" s="3"/>
      <c r="E2" s="3">
        <v>0.01</v>
      </c>
      <c r="F2" s="3">
        <v>0.02</v>
      </c>
      <c r="G2" s="3">
        <v>0.03</v>
      </c>
      <c r="H2" s="3">
        <v>0.04</v>
      </c>
      <c r="I2" s="3">
        <v>0.05</v>
      </c>
      <c r="J2" s="3">
        <v>0.06</v>
      </c>
      <c r="K2" s="3">
        <v>7.0000000000000007E-2</v>
      </c>
      <c r="L2" s="3">
        <v>0.08</v>
      </c>
      <c r="M2" s="3">
        <v>0.09</v>
      </c>
      <c r="N2" s="3">
        <v>0.1</v>
      </c>
    </row>
    <row r="3" spans="1:14" x14ac:dyDescent="0.25">
      <c r="A3" s="1" t="s">
        <v>2</v>
      </c>
      <c r="B3" s="2">
        <v>12</v>
      </c>
      <c r="D3" s="4">
        <v>0.01</v>
      </c>
      <c r="E3" s="5">
        <f>_xll.BondPrice($B$1,$D3,$B$3,E$2,$B$5)</f>
        <v>1000.0000000000106</v>
      </c>
      <c r="F3" s="5">
        <f>_xll.BondPrice($B$1,$D3,$B$3,F$2,$B$5)</f>
        <v>909.4335340613078</v>
      </c>
      <c r="G3" s="5">
        <f>_xll.BondPrice($B$1,$D3,$B$3,G$2,$B$5)</f>
        <v>827.39707819440468</v>
      </c>
      <c r="H3" s="5">
        <f>_xll.BondPrice($B$1,$D3,$B$3,H$2,$B$5)</f>
        <v>753.07456285666547</v>
      </c>
      <c r="I3" s="5">
        <f>_xll.BondPrice($B$1,$D3,$B$3,I$2,$B$5)</f>
        <v>685.72883223921792</v>
      </c>
      <c r="J3" s="5">
        <f>_xll.BondPrice($B$1,$D3,$B$3,J$2,$B$5)</f>
        <v>624.69394447013804</v>
      </c>
      <c r="K3" s="5">
        <f>_xll.BondPrice($B$1,$D3,$B$3,K$2,$B$5)</f>
        <v>569.3682292931104</v>
      </c>
      <c r="L3" s="5">
        <f>_xll.BondPrice($B$1,$D3,$B$3,L$2,$B$5)</f>
        <v>519.20802812194484</v>
      </c>
      <c r="M3" s="5">
        <f>_xll.BondPrice($B$1,$D3,$B$3,M$2,$B$5)</f>
        <v>473.72204887332873</v>
      </c>
      <c r="N3" s="5">
        <f>_xll.BondPrice($B$1,$D3,$B$3,N$2,$B$5)</f>
        <v>432.46627472759332</v>
      </c>
    </row>
    <row r="4" spans="1:14" x14ac:dyDescent="0.25">
      <c r="A4" s="1" t="s">
        <v>3</v>
      </c>
      <c r="B4" s="2">
        <v>0.06</v>
      </c>
      <c r="D4" s="4">
        <v>0.02</v>
      </c>
      <c r="E4" s="5">
        <f>_xll.BondPrice($B$1,$D4,$B$3,E$2,$B$5)</f>
        <v>1095.1249005526072</v>
      </c>
      <c r="F4" s="5">
        <f>_xll.BondPrice($B$1,$D4,$B$3,F$2,$B$5)</f>
        <v>999.99999999999579</v>
      </c>
      <c r="G4" s="5">
        <f>_xll.BondPrice($B$1,$D4,$B$3,G$2,$B$5)</f>
        <v>913.69853909720507</v>
      </c>
      <c r="H4" s="5">
        <f>_xll.BondPrice($B$1,$D4,$B$3,H$2,$B$5)</f>
        <v>835.38304190444114</v>
      </c>
      <c r="I4" s="5">
        <f>_xll.BondPrice($B$1,$D4,$B$3,I$2,$B$5)</f>
        <v>764.29662417941381</v>
      </c>
      <c r="J4" s="5">
        <f>_xll.BondPrice($B$1,$D4,$B$3,J$2,$B$5)</f>
        <v>699.75515557611232</v>
      </c>
      <c r="K4" s="5">
        <f>_xll.BondPrice($B$1,$D4,$B$3,K$2,$B$5)</f>
        <v>641.14019107759168</v>
      </c>
      <c r="L4" s="5">
        <f>_xll.BondPrice($B$1,$D4,$B$3,L$2,$B$5)</f>
        <v>587.89259553309637</v>
      </c>
      <c r="M4" s="5">
        <f>_xll.BondPrice($B$1,$D4,$B$3,M$2,$B$5)</f>
        <v>539.5067927641619</v>
      </c>
      <c r="N4" s="5">
        <f>_xll.BondPrice($B$1,$D4,$B$3,N$2,$B$5)</f>
        <v>495.52557753563872</v>
      </c>
    </row>
    <row r="5" spans="1:14" x14ac:dyDescent="0.25">
      <c r="A5" s="1" t="s">
        <v>4</v>
      </c>
      <c r="B5" s="2">
        <v>1000</v>
      </c>
      <c r="D5" s="4">
        <v>0.03</v>
      </c>
      <c r="E5" s="5">
        <f>_xll.BondPrice($B$1,$D5,$B$3,E$2,$B$5)</f>
        <v>1190.2498011052035</v>
      </c>
      <c r="F5" s="5">
        <f>_xll.BondPrice($B$1,$D5,$B$3,F$2,$B$5)</f>
        <v>1090.5664659386839</v>
      </c>
      <c r="G5" s="5">
        <f>_xll.BondPrice($B$1,$D5,$B$3,G$2,$B$5)</f>
        <v>1000.0000000000055</v>
      </c>
      <c r="H5" s="5">
        <f>_xll.BondPrice($B$1,$D5,$B$3,H$2,$B$5)</f>
        <v>917.69152095221671</v>
      </c>
      <c r="I5" s="5">
        <f>_xll.BondPrice($B$1,$D5,$B$3,I$2,$B$5)</f>
        <v>842.8644161196097</v>
      </c>
      <c r="J5" s="5">
        <f>_xll.BondPrice($B$1,$D5,$B$3,J$2,$B$5)</f>
        <v>774.81636668208671</v>
      </c>
      <c r="K5" s="5">
        <f>_xll.BondPrice($B$1,$D5,$B$3,K$2,$B$5)</f>
        <v>712.91215286207284</v>
      </c>
      <c r="L5" s="5">
        <f>_xll.BondPrice($B$1,$D5,$B$3,L$2,$B$5)</f>
        <v>656.57716294424802</v>
      </c>
      <c r="M5" s="5">
        <f>_xll.BondPrice($B$1,$D5,$B$3,M$2,$B$5)</f>
        <v>605.29153665499541</v>
      </c>
      <c r="N5" s="5">
        <f>_xll.BondPrice($B$1,$D5,$B$3,N$2,$B$5)</f>
        <v>558.58488034368418</v>
      </c>
    </row>
    <row r="6" spans="1:14" x14ac:dyDescent="0.25">
      <c r="A6" s="1" t="s">
        <v>5</v>
      </c>
      <c r="B6">
        <f>_xll.BondPrice(B1,B2,B3,B4,B5)</f>
        <v>924.93878889403538</v>
      </c>
      <c r="D6" s="4">
        <v>0.04</v>
      </c>
      <c r="E6" s="5">
        <f>_xll.BondPrice($B$1,$D6,$B$3,E$2,$B$5)</f>
        <v>1285.3747016578004</v>
      </c>
      <c r="F6" s="5">
        <f>_xll.BondPrice($B$1,$D6,$B$3,F$2,$B$5)</f>
        <v>1181.1329318773717</v>
      </c>
      <c r="G6" s="5">
        <f>_xll.BondPrice($B$1,$D6,$B$3,G$2,$B$5)</f>
        <v>1086.301460902806</v>
      </c>
      <c r="H6" s="5">
        <f>_xll.BondPrice($B$1,$D6,$B$3,H$2,$B$5)</f>
        <v>999.99999999999238</v>
      </c>
      <c r="I6" s="5">
        <f>_xll.BondPrice($B$1,$D6,$B$3,I$2,$B$5)</f>
        <v>921.43220805980582</v>
      </c>
      <c r="J6" s="5">
        <f>_xll.BondPrice($B$1,$D6,$B$3,J$2,$B$5)</f>
        <v>849.87757778806088</v>
      </c>
      <c r="K6" s="5">
        <f>_xll.BondPrice($B$1,$D6,$B$3,K$2,$B$5)</f>
        <v>784.68411464655424</v>
      </c>
      <c r="L6" s="5">
        <f>_xll.BondPrice($B$1,$D6,$B$3,L$2,$B$5)</f>
        <v>725.26173035539944</v>
      </c>
      <c r="M6" s="5">
        <f>_xll.BondPrice($B$1,$D6,$B$3,M$2,$B$5)</f>
        <v>671.07628054582847</v>
      </c>
      <c r="N6" s="5">
        <f>_xll.BondPrice($B$1,$D6,$B$3,N$2,$B$5)</f>
        <v>621.64418315172952</v>
      </c>
    </row>
    <row r="7" spans="1:14" x14ac:dyDescent="0.25">
      <c r="D7" s="4">
        <v>0.05</v>
      </c>
      <c r="E7" s="5">
        <f>_xll.BondPrice($B$1,$D7,$B$3,E$2,$B$5)</f>
        <v>1380.4996022103967</v>
      </c>
      <c r="F7" s="5">
        <f>_xll.BondPrice($B$1,$D7,$B$3,F$2,$B$5)</f>
        <v>1271.6993978160599</v>
      </c>
      <c r="G7" s="5">
        <f>_xll.BondPrice($B$1,$D7,$B$3,G$2,$B$5)</f>
        <v>1172.6029218056065</v>
      </c>
      <c r="H7" s="5">
        <f>_xll.BondPrice($B$1,$D7,$B$3,H$2,$B$5)</f>
        <v>1082.3084790477681</v>
      </c>
      <c r="I7" s="5">
        <f>_xll.BondPrice($B$1,$D7,$B$3,I$2,$B$5)</f>
        <v>1000.0000000000011</v>
      </c>
      <c r="J7" s="5">
        <f>_xll.BondPrice($B$1,$D7,$B$3,J$2,$B$5)</f>
        <v>924.93878889403538</v>
      </c>
      <c r="K7" s="5">
        <f>_xll.BondPrice($B$1,$D7,$B$3,K$2,$B$5)</f>
        <v>856.4560764310354</v>
      </c>
      <c r="L7" s="5">
        <f>_xll.BondPrice($B$1,$D7,$B$3,L$2,$B$5)</f>
        <v>793.94629776655097</v>
      </c>
      <c r="M7" s="5">
        <f>_xll.BondPrice($B$1,$D7,$B$3,M$2,$B$5)</f>
        <v>736.86102443666209</v>
      </c>
      <c r="N7" s="5">
        <f>_xll.BondPrice($B$1,$D7,$B$3,N$2,$B$5)</f>
        <v>684.70348595977509</v>
      </c>
    </row>
    <row r="8" spans="1:14" x14ac:dyDescent="0.25">
      <c r="D8" s="4">
        <v>0.06</v>
      </c>
      <c r="E8" s="5">
        <f>_xll.BondPrice($B$1,$D8,$B$3,E$2,$B$5)</f>
        <v>1475.624502762993</v>
      </c>
      <c r="F8" s="5">
        <f>_xll.BondPrice($B$1,$D8,$B$3,F$2,$B$5)</f>
        <v>1362.2658637547479</v>
      </c>
      <c r="G8" s="5">
        <f>_xll.BondPrice($B$1,$D8,$B$3,G$2,$B$5)</f>
        <v>1258.904382708407</v>
      </c>
      <c r="H8" s="5">
        <f>_xll.BondPrice($B$1,$D8,$B$3,H$2,$B$5)</f>
        <v>1164.6169580955436</v>
      </c>
      <c r="I8" s="5">
        <f>_xll.BondPrice($B$1,$D8,$B$3,I$2,$B$5)</f>
        <v>1078.5677919401974</v>
      </c>
      <c r="J8" s="5">
        <f>_xll.BondPrice($B$1,$D8,$B$3,J$2,$B$5)</f>
        <v>1000.0000000000098</v>
      </c>
      <c r="K8" s="5">
        <f>_xll.BondPrice($B$1,$D8,$B$3,K$2,$B$5)</f>
        <v>928.22803821551656</v>
      </c>
      <c r="L8" s="5">
        <f>_xll.BondPrice($B$1,$D8,$B$3,L$2,$B$5)</f>
        <v>862.63086517770273</v>
      </c>
      <c r="M8" s="5">
        <f>_xll.BondPrice($B$1,$D8,$B$3,M$2,$B$5)</f>
        <v>802.64576832749526</v>
      </c>
      <c r="N8" s="5">
        <f>_xll.BondPrice($B$1,$D8,$B$3,N$2,$B$5)</f>
        <v>747.76278876782044</v>
      </c>
    </row>
    <row r="9" spans="1:14" x14ac:dyDescent="0.25">
      <c r="D9" s="4">
        <v>7.0000000000000007E-2</v>
      </c>
      <c r="E9" s="5">
        <f>_xll.BondPrice($B$1,$D9,$B$3,E$2,$B$5)</f>
        <v>1570.7494033155897</v>
      </c>
      <c r="F9" s="5">
        <f>_xll.BondPrice($B$1,$D9,$B$3,F$2,$B$5)</f>
        <v>1452.8323296934359</v>
      </c>
      <c r="G9" s="5">
        <f>_xll.BondPrice($B$1,$D9,$B$3,G$2,$B$5)</f>
        <v>1345.2058436112075</v>
      </c>
      <c r="H9" s="5">
        <f>_xll.BondPrice($B$1,$D9,$B$3,H$2,$B$5)</f>
        <v>1246.925437143319</v>
      </c>
      <c r="I9" s="5">
        <f>_xll.BondPrice($B$1,$D9,$B$3,I$2,$B$5)</f>
        <v>1157.1355838803931</v>
      </c>
      <c r="J9" s="5">
        <f>_xll.BondPrice($B$1,$D9,$B$3,J$2,$B$5)</f>
        <v>1075.0612111059841</v>
      </c>
      <c r="K9" s="5">
        <f>_xll.BondPrice($B$1,$D9,$B$3,K$2,$B$5)</f>
        <v>999.99999999999818</v>
      </c>
      <c r="L9" s="5">
        <f>_xll.BondPrice($B$1,$D9,$B$3,L$2,$B$5)</f>
        <v>931.31543258885404</v>
      </c>
      <c r="M9" s="5">
        <f>_xll.BondPrice($B$1,$D9,$B$3,M$2,$B$5)</f>
        <v>868.43051221832843</v>
      </c>
      <c r="N9" s="5">
        <f>_xll.BondPrice($B$1,$D9,$B$3,N$2,$B$5)</f>
        <v>810.82209157586601</v>
      </c>
    </row>
    <row r="10" spans="1:14" x14ac:dyDescent="0.25">
      <c r="D10" s="4">
        <v>0.08</v>
      </c>
      <c r="E10" s="5">
        <f>_xll.BondPrice($B$1,$D10,$B$3,E$2,$B$5)</f>
        <v>1665.8743038681866</v>
      </c>
      <c r="F10" s="5">
        <f>_xll.BondPrice($B$1,$D10,$B$3,F$2,$B$5)</f>
        <v>1543.3987956321237</v>
      </c>
      <c r="G10" s="5">
        <f>_xll.BondPrice($B$1,$D10,$B$3,G$2,$B$5)</f>
        <v>1431.5073045140077</v>
      </c>
      <c r="H10" s="5">
        <f>_xll.BondPrice($B$1,$D10,$B$3,H$2,$B$5)</f>
        <v>1329.233916191095</v>
      </c>
      <c r="I10" s="5">
        <f>_xll.BondPrice($B$1,$D10,$B$3,I$2,$B$5)</f>
        <v>1235.7033758205896</v>
      </c>
      <c r="J10" s="5">
        <f>_xll.BondPrice($B$1,$D10,$B$3,J$2,$B$5)</f>
        <v>1150.1224222119581</v>
      </c>
      <c r="K10" s="5">
        <f>_xll.BondPrice($B$1,$D10,$B$3,K$2,$B$5)</f>
        <v>1071.7719617844796</v>
      </c>
      <c r="L10" s="5">
        <f>_xll.BondPrice($B$1,$D10,$B$3,L$2,$B$5)</f>
        <v>1000.0000000000056</v>
      </c>
      <c r="M10" s="5">
        <f>_xll.BondPrice($B$1,$D10,$B$3,M$2,$B$5)</f>
        <v>934.21525610916149</v>
      </c>
      <c r="N10" s="5">
        <f>_xll.BondPrice($B$1,$D10,$B$3,N$2,$B$5)</f>
        <v>873.88139438391113</v>
      </c>
    </row>
    <row r="11" spans="1:14" x14ac:dyDescent="0.25">
      <c r="D11" s="4">
        <v>0.09</v>
      </c>
      <c r="E11" s="5">
        <f>_xll.BondPrice($B$1,$D11,$B$3,E$2,$B$5)</f>
        <v>1760.9992044207827</v>
      </c>
      <c r="F11" s="5">
        <f>_xll.BondPrice($B$1,$D11,$B$3,F$2,$B$5)</f>
        <v>1633.9652615708117</v>
      </c>
      <c r="G11" s="5">
        <f>_xll.BondPrice($B$1,$D11,$B$3,G$2,$B$5)</f>
        <v>1517.8087654168082</v>
      </c>
      <c r="H11" s="5">
        <f>_xll.BondPrice($B$1,$D11,$B$3,H$2,$B$5)</f>
        <v>1411.5423952388705</v>
      </c>
      <c r="I11" s="5">
        <f>_xll.BondPrice($B$1,$D11,$B$3,I$2,$B$5)</f>
        <v>1314.2711677607849</v>
      </c>
      <c r="J11" s="5">
        <f>_xll.BondPrice($B$1,$D11,$B$3,J$2,$B$5)</f>
        <v>1225.1836333179326</v>
      </c>
      <c r="K11" s="5">
        <f>_xll.BondPrice($B$1,$D11,$B$3,K$2,$B$5)</f>
        <v>1143.5439235689603</v>
      </c>
      <c r="L11" s="5">
        <f>_xll.BondPrice($B$1,$D11,$B$3,L$2,$B$5)</f>
        <v>1068.6845674111573</v>
      </c>
      <c r="M11" s="5">
        <f>_xll.BondPrice($B$1,$D11,$B$3,M$2,$B$5)</f>
        <v>999.99999999999488</v>
      </c>
      <c r="N11" s="5">
        <f>_xll.BondPrice($B$1,$D11,$B$3,N$2,$B$5)</f>
        <v>936.9406971919567</v>
      </c>
    </row>
    <row r="12" spans="1:14" x14ac:dyDescent="0.25">
      <c r="D12" s="4">
        <v>0.1</v>
      </c>
      <c r="E12" s="5">
        <f>_xll.BondPrice($B$1,$D12,$B$3,E$2,$B$5)</f>
        <v>1856.1241049733794</v>
      </c>
      <c r="F12" s="5">
        <f>_xll.BondPrice($B$1,$D12,$B$3,F$2,$B$5)</f>
        <v>1724.5317275094999</v>
      </c>
      <c r="G12" s="5">
        <f>_xll.BondPrice($B$1,$D12,$B$3,G$2,$B$5)</f>
        <v>1604.110226319609</v>
      </c>
      <c r="H12" s="5">
        <f>_xll.BondPrice($B$1,$D12,$B$3,H$2,$B$5)</f>
        <v>1493.8508742866461</v>
      </c>
      <c r="I12" s="5">
        <f>_xll.BondPrice($B$1,$D12,$B$3,I$2,$B$5)</f>
        <v>1392.8389597009805</v>
      </c>
      <c r="J12" s="5">
        <f>_xll.BondPrice($B$1,$D12,$B$3,J$2,$B$5)</f>
        <v>1300.2448444239071</v>
      </c>
      <c r="K12" s="5">
        <f>_xll.BondPrice($B$1,$D12,$B$3,K$2,$B$5)</f>
        <v>1215.3158853534417</v>
      </c>
      <c r="L12" s="5">
        <f>_xll.BondPrice($B$1,$D12,$B$3,L$2,$B$5)</f>
        <v>1137.3691348223088</v>
      </c>
      <c r="M12" s="5">
        <f>_xll.BondPrice($B$1,$D12,$B$3,M$2,$B$5)</f>
        <v>1065.7847438908286</v>
      </c>
      <c r="N12" s="5">
        <f>_xll.BondPrice($B$1,$D12,$B$3,N$2,$B$5)</f>
        <v>1000.0000000000023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Ban</dc:creator>
  <cp:lastModifiedBy>Jiayu Ban</cp:lastModifiedBy>
  <dcterms:created xsi:type="dcterms:W3CDTF">2026-05-05T10:45:37Z</dcterms:created>
  <dcterms:modified xsi:type="dcterms:W3CDTF">2026-05-05T10:49:38Z</dcterms:modified>
</cp:coreProperties>
</file>